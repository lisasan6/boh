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Resul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<sst xmlns="http://schemas.openxmlformats.org/spreadsheetml/2006/main" count="55" uniqueCount="48">
  <si>
    <t xml:space="preserve">ScrollJar money model</t>
  </si>
  <si>
    <t xml:space="preserve">How to use: change the yellow cells in column E (Your guess). Blue numbers are assumptions; everything on the Results tab recalculates. All money in US dollars, per year, about 2 years after launch.</t>
  </si>
  <si>
    <t xml:space="preserve">Input</t>
  </si>
  <si>
    <t xml:space="preserve">Hard</t>
  </si>
  <si>
    <t xml:space="preserve">Middle</t>
  </si>
  <si>
    <t xml:space="preserve">Good</t>
  </si>
  <si>
    <t xml:space="preserve">Your guess</t>
  </si>
  <si>
    <t xml:space="preserve">Where the number comes from</t>
  </si>
  <si>
    <t xml:space="preserve">People using the free app</t>
  </si>
  <si>
    <t xml:space="preserve">Illustrative guess, not a forecast.</t>
  </si>
  <si>
    <t xml:space="preserve">Share of free users who buy Plus</t>
  </si>
  <si>
    <t xml:space="preserve">Rough rule of thumb for subscription apps (2–5%); not researched for this market.</t>
  </si>
  <si>
    <t xml:space="preserve">Plus price per year</t>
  </si>
  <si>
    <t xml:space="preserve">Proposed price (sketchpad, 2026-10-14).</t>
  </si>
  <si>
    <t xml:space="preserve">Families on the Family plan</t>
  </si>
  <si>
    <t xml:space="preserve">Illustrative guess.</t>
  </si>
  <si>
    <t xml:space="preserve">Family price per year</t>
  </si>
  <si>
    <t xml:space="preserve">Apple's cut on app subscriptions</t>
  </si>
  <si>
    <t xml:space="preserve">Apple Small Business Program rate (under $1M a year).</t>
  </si>
  <si>
    <t xml:space="preserve">Paying companies (Teams)</t>
  </si>
  <si>
    <t xml:space="preserve">Average employees per company</t>
  </si>
  <si>
    <t xml:space="preserve">Price per employee per month</t>
  </si>
  <si>
    <t xml:space="preserve">Teams draft price (scrolljar-teams-spec.md).</t>
  </si>
  <si>
    <t xml:space="preserve">Card fee on company invoices</t>
  </si>
  <si>
    <t xml:space="preserve">Approximate card processing fee; bank transfer would be lower.</t>
  </si>
  <si>
    <t xml:space="preserve">Running costs per year</t>
  </si>
  <si>
    <t xml:space="preserve">Servers, Apple developer account, domain, email, accountant, US company. Rough estimate.</t>
  </si>
  <si>
    <t xml:space="preserve">One-off cost to build the app</t>
  </si>
  <si>
    <t xml:space="preserve">Used Mac + iPhone if you build it yourself. A freelance iOS developer would be roughly $20,000–60,000.</t>
  </si>
  <si>
    <t xml:space="preserve">Salary you want to pay yourself, per month</t>
  </si>
  <si>
    <t xml:space="preserve">About €2,000 at roughly $1.10 per euro.</t>
  </si>
  <si>
    <t xml:space="preserve">Results</t>
  </si>
  <si>
    <t xml:space="preserve">Every number here is a formula fed by the Inputs tab. Charity money passes through ScrollJar and never counts as income.</t>
  </si>
  <si>
    <t xml:space="preserve">Per year</t>
  </si>
  <si>
    <t xml:space="preserve">Plus payers</t>
  </si>
  <si>
    <t xml:space="preserve">Income from Plus</t>
  </si>
  <si>
    <t xml:space="preserve">Income from Families</t>
  </si>
  <si>
    <t xml:space="preserve">Income from companies</t>
  </si>
  <si>
    <t xml:space="preserve">Total income</t>
  </si>
  <si>
    <t xml:space="preserve">Running costs</t>
  </si>
  <si>
    <t xml:space="preserve">Profit before paying yourself</t>
  </si>
  <si>
    <t xml:space="preserve">Salary it could pay you, per month</t>
  </si>
  <si>
    <t xml:space="preserve">Months to earn back the build cost</t>
  </si>
  <si>
    <t xml:space="preserve">To pay yourself your target salary, you need ONE of:</t>
  </si>
  <si>
    <t xml:space="preserve">…this many Plus payers</t>
  </si>
  <si>
    <t xml:space="preserve">…or this many families</t>
  </si>
  <si>
    <t xml:space="preserve">…or this many companies (at the average size)</t>
  </si>
  <si>
    <t xml:space="preserve">Green = pulled straight from the Inputs tab. Black = calculated here. 'never' means the plan loses money in that scenario.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</si>
</sst>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\$#,##0.00"/>
    <numFmt numFmtId="168" formatCode="\$#,##0;&quot;($&quot;#,##0\);\-"/>
    <numFmt numFmtId="169" formatCode="0.0"/>
    <numFmt numFmtId="170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6F5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BBBB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6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by source,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Results!A6</c:f>
              <c:strCache>
                <c:ptCount val="1"/>
                <c:pt idx="0">
                  <c:v>Income from Plus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Results!$B$4:$E$4</c:f>
              <c:strCache>
                <c:ptCount val="4"/>
                <c:pt idx="0">
                  <c:v>Hard</c:v>
                </c:pt>
                <c:pt idx="1">
                  <c:v>Middle</c:v>
                </c:pt>
                <c:pt idx="2">
                  <c:v>Good</c:v>
                </c:pt>
                <c:pt idx="3">
                  <c:v>Your guess</c:v>
                </c:pt>
              </c:strCache>
            </c:strRef>
          </c:cat>
          <c:val>
            <c:numRef>
              <c:f>Results!$B$6:$E$6</c:f>
              <c:numCache>
                <c:formatCode>\$#,##0;"($"#,##0\);\-</c:formatCode>
                <c:ptCount val="4"/>
                <c:pt idx="0">
                  <c:v>1019.66</c:v>
                </c:pt>
                <c:pt idx="1">
                  <c:v>15294.9</c:v>
                </c:pt>
                <c:pt idx="2">
                  <c:v>101966</c:v>
                </c:pt>
                <c:pt idx="3">
                  <c:v>15294.9</c:v>
                </c:pt>
              </c:numCache>
            </c:numRef>
          </c:val>
        </c:ser>
        <c:ser>
          <c:idx val="1"/>
          <c:order val="1"/>
          <c:tx>
            <c:strRef>
              <c:f>Results!A7</c:f>
              <c:strCache>
                <c:ptCount val="1"/>
                <c:pt idx="0">
                  <c:v>Income from Families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Results!$B$4:$E$4</c:f>
              <c:strCache>
                <c:ptCount val="4"/>
                <c:pt idx="0">
                  <c:v>Hard</c:v>
                </c:pt>
                <c:pt idx="1">
                  <c:v>Middle</c:v>
                </c:pt>
                <c:pt idx="2">
                  <c:v>Good</c:v>
                </c:pt>
                <c:pt idx="3">
                  <c:v>Your guess</c:v>
                </c:pt>
              </c:strCache>
            </c:strRef>
          </c:cat>
          <c:val>
            <c:numRef>
              <c:f>Results!$B$7:$E$7</c:f>
              <c:numCache>
                <c:formatCode>\$#,##0;"($"#,##0\);\-</c:formatCode>
                <c:ptCount val="4"/>
                <c:pt idx="0">
                  <c:v>424.915</c:v>
                </c:pt>
                <c:pt idx="1">
                  <c:v>4249.15</c:v>
                </c:pt>
                <c:pt idx="2">
                  <c:v>33993.2</c:v>
                </c:pt>
                <c:pt idx="3">
                  <c:v>4249.15</c:v>
                </c:pt>
              </c:numCache>
            </c:numRef>
          </c:val>
        </c:ser>
        <c:ser>
          <c:idx val="2"/>
          <c:order val="2"/>
          <c:tx>
            <c:strRef>
              <c:f>Results!A8</c:f>
              <c:strCache>
                <c:ptCount val="1"/>
                <c:pt idx="0">
                  <c:v>Income from companies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Results!$B$4:$E$4</c:f>
              <c:strCache>
                <c:ptCount val="4"/>
                <c:pt idx="0">
                  <c:v>Hard</c:v>
                </c:pt>
                <c:pt idx="1">
                  <c:v>Middle</c:v>
                </c:pt>
                <c:pt idx="2">
                  <c:v>Good</c:v>
                </c:pt>
                <c:pt idx="3">
                  <c:v>Your guess</c:v>
                </c:pt>
              </c:strCache>
            </c:strRef>
          </c:cat>
          <c:val>
            <c:numRef>
              <c:f>Results!$B$8:$E$8</c:f>
              <c:numCache>
                <c:formatCode>\$#,##0;"($"#,##0\);\-</c:formatCode>
                <c:ptCount val="4"/>
                <c:pt idx="0">
                  <c:v>0</c:v>
                </c:pt>
                <c:pt idx="1">
                  <c:v>13968</c:v>
                </c:pt>
                <c:pt idx="2">
                  <c:v>104760</c:v>
                </c:pt>
                <c:pt idx="3">
                  <c:v>13968</c:v>
                </c:pt>
              </c:numCache>
            </c:numRef>
          </c:val>
        </c:ser>
        <c:gapWidth val="150"/>
        <c:overlap val="100"/>
        <c:axId val="68491645"/>
        <c:axId val="88234218"/>
      </c:barChart>
      <c:catAx>
        <c:axId val="684916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34218"/>
        <c:crosses val="autoZero"/>
        <c:auto val="1"/>
        <c:lblAlgn val="ctr"/>
        <c:lblOffset val="100"/>
        <c:noMultiLvlLbl val="0"/>
      </c:catAx>
      <c:valAx>
        <c:axId val="882342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 dollars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916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794196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3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2000</v>
      </c>
      <c r="C5" s="5" t="n">
        <v>20000</v>
      </c>
      <c r="D5" s="5" t="n">
        <v>100000</v>
      </c>
      <c r="E5" s="6" t="n">
        <v>20000</v>
      </c>
      <c r="F5" s="7" t="s">
        <v>9</v>
      </c>
    </row>
    <row r="6" customFormat="false" ht="15" hidden="false" customHeight="false" outlineLevel="0" collapsed="false">
      <c r="A6" s="4" t="s">
        <v>10</v>
      </c>
      <c r="B6" s="8" t="n">
        <v>0.02</v>
      </c>
      <c r="C6" s="8" t="n">
        <v>0.03</v>
      </c>
      <c r="D6" s="8" t="n">
        <v>0.04</v>
      </c>
      <c r="E6" s="9" t="n">
        <v>0.03</v>
      </c>
      <c r="F6" s="7" t="s">
        <v>11</v>
      </c>
    </row>
    <row r="7" customFormat="false" ht="15" hidden="false" customHeight="false" outlineLevel="0" collapsed="false">
      <c r="A7" s="4" t="s">
        <v>12</v>
      </c>
      <c r="B7" s="10" t="n">
        <v>29.99</v>
      </c>
      <c r="C7" s="10" t="n">
        <v>29.99</v>
      </c>
      <c r="D7" s="10" t="n">
        <v>29.99</v>
      </c>
      <c r="E7" s="11" t="n">
        <v>29.99</v>
      </c>
      <c r="F7" s="7" t="s">
        <v>13</v>
      </c>
    </row>
    <row r="8" customFormat="false" ht="15" hidden="false" customHeight="false" outlineLevel="0" collapsed="false">
      <c r="A8" s="4" t="s">
        <v>14</v>
      </c>
      <c r="B8" s="5" t="n">
        <v>10</v>
      </c>
      <c r="C8" s="5" t="n">
        <v>100</v>
      </c>
      <c r="D8" s="5" t="n">
        <v>800</v>
      </c>
      <c r="E8" s="6" t="n">
        <v>100</v>
      </c>
      <c r="F8" s="7" t="s">
        <v>15</v>
      </c>
    </row>
    <row r="9" customFormat="false" ht="15" hidden="false" customHeight="false" outlineLevel="0" collapsed="false">
      <c r="A9" s="4" t="s">
        <v>16</v>
      </c>
      <c r="B9" s="10" t="n">
        <v>49.99</v>
      </c>
      <c r="C9" s="10" t="n">
        <v>49.99</v>
      </c>
      <c r="D9" s="10" t="n">
        <v>49.99</v>
      </c>
      <c r="E9" s="11" t="n">
        <v>49.99</v>
      </c>
      <c r="F9" s="7" t="s">
        <v>13</v>
      </c>
    </row>
    <row r="10" customFormat="false" ht="15" hidden="false" customHeight="false" outlineLevel="0" collapsed="false">
      <c r="A10" s="4" t="s">
        <v>17</v>
      </c>
      <c r="B10" s="8" t="n">
        <v>0.15</v>
      </c>
      <c r="C10" s="8" t="n">
        <v>0.15</v>
      </c>
      <c r="D10" s="8" t="n">
        <v>0.15</v>
      </c>
      <c r="E10" s="9" t="n">
        <v>0.15</v>
      </c>
      <c r="F10" s="7" t="s">
        <v>18</v>
      </c>
    </row>
    <row r="11" customFormat="false" ht="15" hidden="false" customHeight="false" outlineLevel="0" collapsed="false">
      <c r="A11" s="4" t="s">
        <v>19</v>
      </c>
      <c r="B11" s="5" t="n">
        <v>0</v>
      </c>
      <c r="C11" s="5" t="n">
        <v>3</v>
      </c>
      <c r="D11" s="5" t="n">
        <v>15</v>
      </c>
      <c r="E11" s="6" t="n">
        <v>3</v>
      </c>
      <c r="F11" s="7" t="s">
        <v>15</v>
      </c>
    </row>
    <row r="12" customFormat="false" ht="15" hidden="false" customHeight="false" outlineLevel="0" collapsed="false">
      <c r="A12" s="4" t="s">
        <v>20</v>
      </c>
      <c r="B12" s="5" t="n">
        <v>100</v>
      </c>
      <c r="C12" s="5" t="n">
        <v>100</v>
      </c>
      <c r="D12" s="5" t="n">
        <v>150</v>
      </c>
      <c r="E12" s="6" t="n">
        <v>100</v>
      </c>
      <c r="F12" s="7" t="s">
        <v>15</v>
      </c>
    </row>
    <row r="13" customFormat="false" ht="15" hidden="false" customHeight="false" outlineLevel="0" collapsed="false">
      <c r="A13" s="4" t="s">
        <v>21</v>
      </c>
      <c r="B13" s="10" t="n">
        <v>4</v>
      </c>
      <c r="C13" s="10" t="n">
        <v>4</v>
      </c>
      <c r="D13" s="10" t="n">
        <v>4</v>
      </c>
      <c r="E13" s="11" t="n">
        <v>4</v>
      </c>
      <c r="F13" s="7" t="s">
        <v>22</v>
      </c>
    </row>
    <row r="14" customFormat="false" ht="15" hidden="false" customHeight="false" outlineLevel="0" collapsed="false">
      <c r="A14" s="4" t="s">
        <v>23</v>
      </c>
      <c r="B14" s="8" t="n">
        <v>0.03</v>
      </c>
      <c r="C14" s="8" t="n">
        <v>0.03</v>
      </c>
      <c r="D14" s="8" t="n">
        <v>0.03</v>
      </c>
      <c r="E14" s="9" t="n">
        <v>0.03</v>
      </c>
      <c r="F14" s="7" t="s">
        <v>24</v>
      </c>
    </row>
    <row r="15" customFormat="false" ht="15" hidden="false" customHeight="false" outlineLevel="0" collapsed="false">
      <c r="A15" s="4" t="s">
        <v>25</v>
      </c>
      <c r="B15" s="12" t="n">
        <v>5000</v>
      </c>
      <c r="C15" s="12" t="n">
        <v>8000</v>
      </c>
      <c r="D15" s="12" t="n">
        <v>20000</v>
      </c>
      <c r="E15" s="13" t="n">
        <v>8000</v>
      </c>
      <c r="F15" s="7" t="s">
        <v>26</v>
      </c>
    </row>
    <row r="16" customFormat="false" ht="15" hidden="false" customHeight="false" outlineLevel="0" collapsed="false">
      <c r="A16" s="4" t="s">
        <v>27</v>
      </c>
      <c r="B16" s="12" t="n">
        <v>1500</v>
      </c>
      <c r="C16" s="12" t="n">
        <v>1500</v>
      </c>
      <c r="D16" s="12" t="n">
        <v>1500</v>
      </c>
      <c r="E16" s="13" t="n">
        <v>1500</v>
      </c>
      <c r="F16" s="7" t="s">
        <v>28</v>
      </c>
    </row>
    <row r="17" customFormat="false" ht="15" hidden="false" customHeight="false" outlineLevel="0" collapsed="false">
      <c r="A17" s="4" t="s">
        <v>29</v>
      </c>
      <c r="B17" s="12" t="n">
        <v>2200</v>
      </c>
      <c r="C17" s="12" t="n">
        <v>2200</v>
      </c>
      <c r="D17" s="12" t="n">
        <v>2200</v>
      </c>
      <c r="E17" s="13" t="n">
        <v>2200</v>
      </c>
      <c r="F17" s="7" t="s">
        <v>30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14" t="s">
        <v>32</v>
      </c>
      <c r="B2" s="14"/>
      <c r="C2" s="14"/>
      <c r="D2" s="14"/>
      <c r="E2" s="14"/>
    </row>
    <row r="4" customFormat="false" ht="15" hidden="false" customHeight="false" outlineLevel="0" collapsed="false">
      <c r="A4" s="3" t="s">
        <v>33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34</v>
      </c>
      <c r="B5" s="15" t="n">
        <f aca="false">Inputs!B$5*Inputs!B$6</f>
        <v>40</v>
      </c>
      <c r="C5" s="15" t="n">
        <f aca="false">Inputs!C$5*Inputs!C$6</f>
        <v>600</v>
      </c>
      <c r="D5" s="15" t="n">
        <f aca="false">Inputs!D$5*Inputs!D$6</f>
        <v>4000</v>
      </c>
      <c r="E5" s="15" t="n">
        <f aca="false">Inputs!E$5*Inputs!E$6</f>
        <v>600</v>
      </c>
    </row>
    <row r="6" customFormat="false" ht="15" hidden="false" customHeight="false" outlineLevel="0" collapsed="false">
      <c r="A6" s="4" t="s">
        <v>35</v>
      </c>
      <c r="B6" s="16" t="n">
        <f aca="false">B5*Inputs!B$7*(1-Inputs!B$10)</f>
        <v>1019.66</v>
      </c>
      <c r="C6" s="16" t="n">
        <f aca="false">C5*Inputs!C$7*(1-Inputs!C$10)</f>
        <v>15294.9</v>
      </c>
      <c r="D6" s="16" t="n">
        <f aca="false">D5*Inputs!D$7*(1-Inputs!D$10)</f>
        <v>101966</v>
      </c>
      <c r="E6" s="16" t="n">
        <f aca="false">E5*Inputs!E$7*(1-Inputs!E$10)</f>
        <v>15294.9</v>
      </c>
    </row>
    <row r="7" customFormat="false" ht="15" hidden="false" customHeight="false" outlineLevel="0" collapsed="false">
      <c r="A7" s="4" t="s">
        <v>36</v>
      </c>
      <c r="B7" s="16" t="n">
        <f aca="false">Inputs!B$8*Inputs!B$9*(1-Inputs!B$10)</f>
        <v>424.915</v>
      </c>
      <c r="C7" s="16" t="n">
        <f aca="false">Inputs!C$8*Inputs!C$9*(1-Inputs!C$10)</f>
        <v>4249.15</v>
      </c>
      <c r="D7" s="16" t="n">
        <f aca="false">Inputs!D$8*Inputs!D$9*(1-Inputs!D$10)</f>
        <v>33993.2</v>
      </c>
      <c r="E7" s="16" t="n">
        <f aca="false">Inputs!E$8*Inputs!E$9*(1-Inputs!E$10)</f>
        <v>4249.15</v>
      </c>
    </row>
    <row r="8" customFormat="false" ht="15" hidden="false" customHeight="false" outlineLevel="0" collapsed="false">
      <c r="A8" s="4" t="s">
        <v>37</v>
      </c>
      <c r="B8" s="16" t="n">
        <f aca="false">Inputs!B$11*Inputs!B$12*Inputs!B$13*12*(1-Inputs!B$14)</f>
        <v>0</v>
      </c>
      <c r="C8" s="16" t="n">
        <f aca="false">Inputs!C$11*Inputs!C$12*Inputs!C$13*12*(1-Inputs!C$14)</f>
        <v>13968</v>
      </c>
      <c r="D8" s="16" t="n">
        <f aca="false">Inputs!D$11*Inputs!D$12*Inputs!D$13*12*(1-Inputs!D$14)</f>
        <v>104760</v>
      </c>
      <c r="E8" s="16" t="n">
        <f aca="false">Inputs!E$11*Inputs!E$12*Inputs!E$13*12*(1-Inputs!E$14)</f>
        <v>13968</v>
      </c>
    </row>
    <row r="9" customFormat="false" ht="15" hidden="false" customHeight="false" outlineLevel="0" collapsed="false">
      <c r="A9" s="17" t="s">
        <v>38</v>
      </c>
      <c r="B9" s="18" t="n">
        <f aca="false">SUM(B6:B8)</f>
        <v>1444.575</v>
      </c>
      <c r="C9" s="18" t="n">
        <f aca="false">SUM(C6:C8)</f>
        <v>33512.05</v>
      </c>
      <c r="D9" s="18" t="n">
        <f aca="false">SUM(D6:D8)</f>
        <v>240719.2</v>
      </c>
      <c r="E9" s="18" t="n">
        <f aca="false">SUM(E6:E8)</f>
        <v>33512.05</v>
      </c>
    </row>
    <row r="10" customFormat="false" ht="15" hidden="false" customHeight="false" outlineLevel="0" collapsed="false">
      <c r="A10" s="4" t="s">
        <v>39</v>
      </c>
      <c r="B10" s="16" t="n">
        <f aca="false">Inputs!B$15</f>
        <v>5000</v>
      </c>
      <c r="C10" s="16" t="n">
        <f aca="false">Inputs!C$15</f>
        <v>8000</v>
      </c>
      <c r="D10" s="16" t="n">
        <f aca="false">Inputs!D$15</f>
        <v>20000</v>
      </c>
      <c r="E10" s="16" t="n">
        <f aca="false">Inputs!E$15</f>
        <v>8000</v>
      </c>
    </row>
    <row r="11" customFormat="false" ht="15" hidden="false" customHeight="false" outlineLevel="0" collapsed="false">
      <c r="A11" s="17" t="s">
        <v>40</v>
      </c>
      <c r="B11" s="18" t="n">
        <f aca="false">B9-B10</f>
        <v>-3555.425</v>
      </c>
      <c r="C11" s="18" t="n">
        <f aca="false">C9-C10</f>
        <v>25512.05</v>
      </c>
      <c r="D11" s="18" t="n">
        <f aca="false">D9-D10</f>
        <v>220719.2</v>
      </c>
      <c r="E11" s="18" t="n">
        <f aca="false">E9-E10</f>
        <v>25512.05</v>
      </c>
    </row>
    <row r="12" customFormat="false" ht="15" hidden="false" customHeight="false" outlineLevel="0" collapsed="false">
      <c r="A12" s="19" t="s">
        <v>41</v>
      </c>
      <c r="B12" s="20" t="n">
        <f aca="false">MAX(0,B11)/12</f>
        <v>0</v>
      </c>
      <c r="C12" s="20" t="n">
        <f aca="false">MAX(0,C11)/12</f>
        <v>2126.00416666667</v>
      </c>
      <c r="D12" s="20" t="n">
        <f aca="false">MAX(0,D11)/12</f>
        <v>18393.2666666667</v>
      </c>
      <c r="E12" s="20" t="n">
        <f aca="false">MAX(0,E11)/12</f>
        <v>2126.00416666667</v>
      </c>
    </row>
    <row r="13" customFormat="false" ht="15" hidden="false" customHeight="false" outlineLevel="0" collapsed="false">
      <c r="A13" s="4" t="s">
        <v>42</v>
      </c>
      <c r="B13" s="21" t="str">
        <f aca="false">IF(B11&gt;0,Inputs!B$16/(B11/12),"never")</f>
        <v>never</v>
      </c>
      <c r="C13" s="21" t="n">
        <f aca="false">IF(C11&gt;0,Inputs!C$16/(C11/12),"never")</f>
        <v>0.705548946478233</v>
      </c>
      <c r="D13" s="21" t="n">
        <f aca="false">IF(D11&gt;0,Inputs!D$16/(D11/12),"never")</f>
        <v>0.081551582281922</v>
      </c>
      <c r="E13" s="21" t="n">
        <f aca="false">IF(E11&gt;0,Inputs!E$16/(E11/12),"never")</f>
        <v>0.705548946478233</v>
      </c>
    </row>
    <row r="15" customFormat="false" ht="15" hidden="false" customHeight="false" outlineLevel="0" collapsed="false">
      <c r="A15" s="19" t="s">
        <v>43</v>
      </c>
    </row>
    <row r="16" customFormat="false" ht="15" hidden="false" customHeight="false" outlineLevel="0" collapsed="false">
      <c r="A16" s="4" t="s">
        <v>44</v>
      </c>
      <c r="B16" s="22" t="n">
        <f aca="false">(Inputs!B$17*12+Inputs!B$15)/(Inputs!B$7*(1-Inputs!B$10))</f>
        <v>1231.78314340074</v>
      </c>
      <c r="C16" s="22" t="n">
        <f aca="false">(Inputs!C$17*12+Inputs!C$15)/(Inputs!C$7*(1-Inputs!C$10))</f>
        <v>1349.4694309868</v>
      </c>
      <c r="D16" s="22" t="n">
        <f aca="false">(Inputs!D$17*12+Inputs!D$15)/(Inputs!D$7*(1-Inputs!D$10))</f>
        <v>1820.21458133103</v>
      </c>
      <c r="E16" s="22" t="n">
        <f aca="false">(Inputs!E$17*12+Inputs!E$15)/(Inputs!E$7*(1-Inputs!E$10))</f>
        <v>1349.4694309868</v>
      </c>
    </row>
    <row r="17" customFormat="false" ht="15" hidden="false" customHeight="false" outlineLevel="0" collapsed="false">
      <c r="A17" s="4" t="s">
        <v>45</v>
      </c>
      <c r="B17" s="22" t="n">
        <f aca="false">(Inputs!B$17*12+Inputs!B$15)/(Inputs!B$9*(1-Inputs!B$10))</f>
        <v>738.9713236765</v>
      </c>
      <c r="C17" s="22" t="n">
        <f aca="false">(Inputs!C$17*12+Inputs!C$15)/(Inputs!C$9*(1-Inputs!C$10))</f>
        <v>809.573679441771</v>
      </c>
      <c r="D17" s="22" t="n">
        <f aca="false">(Inputs!D$17*12+Inputs!D$15)/(Inputs!D$9*(1-Inputs!D$10))</f>
        <v>1091.98310250285</v>
      </c>
      <c r="E17" s="22" t="n">
        <f aca="false">(Inputs!E$17*12+Inputs!E$15)/(Inputs!E$9*(1-Inputs!E$10))</f>
        <v>809.573679441771</v>
      </c>
    </row>
    <row r="18" customFormat="false" ht="15" hidden="false" customHeight="false" outlineLevel="0" collapsed="false">
      <c r="A18" s="4" t="s">
        <v>46</v>
      </c>
      <c r="B18" s="21" t="n">
        <f aca="false">IFERROR((Inputs!B$17*12+Inputs!B$15)/(Inputs!B$12*Inputs!B$13*12*(1-Inputs!B$14)),0)</f>
        <v>6.74398625429553</v>
      </c>
      <c r="C18" s="21" t="n">
        <f aca="false">IFERROR((Inputs!C$17*12+Inputs!C$15)/(Inputs!C$12*Inputs!C$13*12*(1-Inputs!C$14)),0)</f>
        <v>7.38831615120275</v>
      </c>
      <c r="D18" s="21" t="n">
        <f aca="false">IFERROR((Inputs!D$17*12+Inputs!D$15)/(Inputs!D$12*Inputs!D$13*12*(1-Inputs!D$14)),0)</f>
        <v>6.64375715922108</v>
      </c>
      <c r="E18" s="21" t="n">
        <f aca="false">IFERROR((Inputs!E$17*12+Inputs!E$15)/(Inputs!E$12*Inputs!E$13*12*(1-Inputs!E$14)),0)</f>
        <v>7.38831615120275</v>
      </c>
    </row>
    <row r="20" customFormat="false" ht="15" hidden="false" customHeight="false" outlineLevel="0" collapsed="false">
      <c r="A20" s="14" t="s">
        <v>47</v>
      </c>
      <c r="B20" s="14"/>
      <c r="C20" s="14"/>
      <c r="D20" s="14"/>
      <c r="E20" s="14"/>
    </row>
  </sheetData>
  <mergeCells count="2">
    <mergeCell ref="A2:E2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2026-10-14T14:34:07Z</dcterms:created>
  <dc:creator>openpyxl</dc:creator>
  <dc:description/>
  <dc:language>en-US</dc:language>
  <cp:lastModifiedBy/>
  <dcterms:modified xsi:type="dcterms:W3CDTF">2026-10-14T14:34:11Z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